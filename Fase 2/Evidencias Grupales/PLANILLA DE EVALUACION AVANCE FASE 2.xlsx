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mn\Downloads\DOCUMENTOS FASE2\DOCUMENTOS FASE2\"/>
    </mc:Choice>
  </mc:AlternateContent>
  <xr:revisionPtr revIDLastSave="0" documentId="13_ncr:1_{CC184774-45C0-49A2-9F63-28A45FA94113}" xr6:coauthVersionLast="47" xr6:coauthVersionMax="47" xr10:uidLastSave="{00000000-0000-0000-0000-000000000000}"/>
  <bookViews>
    <workbookView xWindow="28680" yWindow="-120" windowWidth="29040" windowHeight="158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H13" i="1"/>
  <c r="I13" i="1" s="1"/>
  <c r="J13" i="1"/>
  <c r="K13" i="1" s="1"/>
  <c r="B14" i="1"/>
  <c r="B15" i="1"/>
  <c r="B16" i="1"/>
  <c r="B17" i="1"/>
  <c r="B18" i="1"/>
  <c r="B19" i="1"/>
  <c r="B20" i="1"/>
  <c r="B13" i="1"/>
  <c r="D14" i="1" l="1"/>
  <c r="E14" i="1" s="1"/>
  <c r="D15" i="1"/>
  <c r="E15" i="1" s="1"/>
  <c r="D16" i="1"/>
  <c r="E16" i="1" s="1"/>
  <c r="D17" i="1"/>
  <c r="E17" i="1" s="1"/>
  <c r="D18" i="1"/>
  <c r="E18" i="1" s="1"/>
  <c r="D19" i="1"/>
  <c r="E19" i="1" s="1"/>
  <c r="H17" i="1" l="1"/>
  <c r="I17" i="1" s="1"/>
  <c r="J17" i="1"/>
  <c r="K17" i="1" s="1"/>
  <c r="J20" i="1"/>
  <c r="K20" i="1" s="1"/>
  <c r="H20" i="1"/>
  <c r="I20" i="1" s="1"/>
  <c r="D20" i="1"/>
  <c r="E20" i="1" s="1"/>
  <c r="J19" i="1"/>
  <c r="K19" i="1" s="1"/>
  <c r="H19" i="1"/>
  <c r="I19" i="1" s="1"/>
  <c r="J18" i="1"/>
  <c r="K18" i="1" s="1"/>
  <c r="H18" i="1"/>
  <c r="I18" i="1" s="1"/>
  <c r="J16" i="1"/>
  <c r="K16" i="1" s="1"/>
  <c r="H16" i="1"/>
  <c r="I16" i="1" s="1"/>
  <c r="J15" i="1"/>
  <c r="K15" i="1" s="1"/>
  <c r="H15" i="1"/>
  <c r="I15" i="1" s="1"/>
  <c r="J14" i="1"/>
  <c r="H14" i="1"/>
  <c r="I14" i="1" s="1"/>
  <c r="E21" i="1" l="1"/>
  <c r="G21" i="1"/>
  <c r="I21" i="1"/>
  <c r="K14" i="1"/>
  <c r="K21" i="1" l="1"/>
  <c r="C21" i="1" s="1"/>
  <c r="C22" i="1" s="1"/>
  <c r="C6" i="1" l="1"/>
  <c r="C5" i="1"/>
  <c r="C4" i="1"/>
</calcChain>
</file>

<file path=xl/sharedStrings.xml><?xml version="1.0" encoding="utf-8"?>
<sst xmlns="http://schemas.openxmlformats.org/spreadsheetml/2006/main" count="92" uniqueCount="67">
  <si>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</si>
  <si>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</si>
  <si>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</si>
  <si>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</si>
  <si>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</si>
  <si>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</si>
  <si>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</si>
  <si>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</si>
  <si>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</si>
  <si>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</si>
  <si>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</si>
  <si>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</si>
  <si>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</si>
  <si>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</si>
  <si>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</si>
  <si>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</si>
  <si>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</si>
  <si>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</si>
  <si>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</si>
  <si>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</si>
  <si>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</si>
  <si>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</si>
  <si>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</si>
  <si>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</si>
  <si>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</si>
  <si>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</si>
  <si>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</si>
  <si>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</si>
  <si>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</si>
  <si>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</si>
  <si>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</si>
  <si>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</si>
  <si>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</si>
  <si>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</si>
  <si>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</si>
  <si>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</si>
  <si>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</si>
  <si>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</si>
  <si>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</si>
  <si>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</si>
  <si>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</si>
  <si>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</si>
  <si>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</si>
  <si>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</si>
  <si>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</si>
  <si>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</si>
  <si>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</si>
  <si>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</si>
  <si>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</si>
  <si>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</si>
  <si>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</si>
  <si>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</si>
  <si>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</si>
  <si>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</si>
  <si>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</si>
  <si>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</si>
  <si>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</si>
  <si>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</si>
  <si>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</si>
  <si>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</si>
  <si>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</si>
  <si>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</si>
  <si>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</si>
  <si>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Roni Saavedra</t>
  </si>
  <si>
    <t>Maximiliano Pino</t>
  </si>
  <si>
    <t>Bastian Medina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</si>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</sst>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7" sqref="D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65</v>
      </c>
      <c r="C4" s="5" t="e">
        <f>EVALUACION2!$C$22</f>
        <v>#N/A</v>
      </c>
      <c r="G4" s="1"/>
    </row>
    <row r="5" spans="1:11" x14ac:dyDescent="0.25">
      <c r="A5" s="4">
        <v>2</v>
      </c>
      <c r="B5" s="25" t="s">
        <v>63</v>
      </c>
      <c r="C5" s="5" t="e">
        <f>EVALUACION2!$C$22</f>
        <v>#N/A</v>
      </c>
      <c r="G5" s="1"/>
    </row>
    <row r="6" spans="1:11" x14ac:dyDescent="0.25">
      <c r="A6" s="4">
        <v>3</v>
      </c>
      <c r="B6" s="25" t="s">
        <v>64</v>
      </c>
      <c r="C6" s="5" t="e">
        <f>EVALUACION2!$C$22</f>
        <v>#N/A</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
        <v>66</v>
      </c>
      <c r="G13" s="15">
        <v>10</v>
      </c>
      <c r="H13" s="15" t="str">
        <f t="shared" ref="H13:H17" si="1">IF($C13=ML,"X","")</f>
        <v/>
      </c>
      <c r="I13" s="15" t="str">
        <f>IF(H13="X",30*0.1,"")</f>
        <v/>
      </c>
      <c r="J13" s="15" t="str">
        <f t="shared" ref="J13:J17" si="2">IF($C13=NL,"X","")</f>
        <v/>
      </c>
      <c r="K13" s="15" t="str">
        <f t="shared" ref="K13:K17" si="3">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
        <v>66</v>
      </c>
      <c r="G14" s="15">
        <v>10</v>
      </c>
      <c r="H14" s="15" t="str">
        <f t="shared" si="1"/>
        <v/>
      </c>
      <c r="I14" s="15" t="str">
        <f>IF(H14="X",30*0.1,"")</f>
        <v/>
      </c>
      <c r="J14" s="15" t="str">
        <f t="shared" si="2"/>
        <v/>
      </c>
      <c r="K14" s="15" t="str">
        <f t="shared" si="3"/>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
        <v>66</v>
      </c>
      <c r="G15" s="15">
        <v>25</v>
      </c>
      <c r="H15" s="15" t="str">
        <f t="shared" si="1"/>
        <v/>
      </c>
      <c r="I15" s="15" t="str">
        <f>IF(H15="X",30*0.25,"")</f>
        <v/>
      </c>
      <c r="J15" s="15" t="str">
        <f t="shared" si="2"/>
        <v/>
      </c>
      <c r="K15" s="15" t="str">
        <f t="shared" si="3"/>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
        <v>66</v>
      </c>
      <c r="G16" s="15">
        <v>5</v>
      </c>
      <c r="H16" s="15" t="str">
        <f t="shared" si="1"/>
        <v/>
      </c>
      <c r="I16" s="15" t="str">
        <f>IF(H16="X",30*0.05,"")</f>
        <v/>
      </c>
      <c r="J16" s="15" t="str">
        <f t="shared" si="2"/>
        <v/>
      </c>
      <c r="K16" s="15" t="str">
        <f t="shared" si="3"/>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
        <v>66</v>
      </c>
      <c r="G17" s="15">
        <v>5</v>
      </c>
      <c r="H17" s="15" t="str">
        <f t="shared" si="1"/>
        <v/>
      </c>
      <c r="I17" s="15" t="str">
        <f>IF(H17="X",30*0.05,"")</f>
        <v/>
      </c>
      <c r="J17" s="15" t="str">
        <f t="shared" si="2"/>
        <v/>
      </c>
      <c r="K17" s="15" t="str">
        <f t="shared" si="3"/>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
        <v>66</v>
      </c>
      <c r="G18" s="15">
        <v>20</v>
      </c>
      <c r="H18" s="15" t="str">
        <f>IF($C18=ML,"X","")</f>
        <v/>
      </c>
      <c r="I18" s="15" t="str">
        <f>IF(H18="X",30*0.2,"")</f>
        <v/>
      </c>
      <c r="J18" s="15" t="str">
        <f>IF($C18=NL,"X","")</f>
        <v/>
      </c>
      <c r="K18" s="15" t="str">
        <f t="shared" ref="K18:K20" si="4">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
        <v>66</v>
      </c>
      <c r="G19" s="15">
        <v>15</v>
      </c>
      <c r="H19" s="15" t="str">
        <f>IF($C19=ML,"X","")</f>
        <v/>
      </c>
      <c r="I19" s="15" t="str">
        <f>IF(H19="X",30*0.15,"")</f>
        <v/>
      </c>
      <c r="J19" s="15" t="str">
        <f>IF($C19=NL,"X","")</f>
        <v/>
      </c>
      <c r="K19" s="15" t="str">
        <f t="shared" si="4"/>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
        <v>66</v>
      </c>
      <c r="G20" s="15">
        <v>10</v>
      </c>
      <c r="H20" s="15" t="str">
        <f>IF($C20=ML,"X","")</f>
        <v/>
      </c>
      <c r="I20" s="15" t="str">
        <f>IF(H20="X",30*0.1,"")</f>
        <v/>
      </c>
      <c r="J20" s="15" t="str">
        <f>IF($C20=NL,"X","")</f>
        <v/>
      </c>
      <c r="K20" s="15" t="str">
        <f t="shared" si="4"/>
        <v/>
      </c>
    </row>
    <row r="21" spans="1:11" ht="15.75" customHeight="1" outlineLevel="1" x14ac:dyDescent="0.3">
      <c r="A21" s="41"/>
      <c r="B21" s="27" t="s">
        <v>4</v>
      </c>
      <c r="C21" s="31">
        <f>E21+G21+I21+K21</f>
        <v>200</v>
      </c>
      <c r="D21" s="16"/>
      <c r="E21" s="16">
        <f>SUM(E13:E20)</f>
        <v>100</v>
      </c>
      <c r="F21" s="16"/>
      <c r="G21" s="16">
        <f>SUM(G13:G20)</f>
        <v>100</v>
      </c>
      <c r="H21" s="16"/>
      <c r="I21" s="16">
        <f>SUM(I13:I20)</f>
        <v>0</v>
      </c>
      <c r="J21" s="16"/>
      <c r="K21" s="16">
        <f>SUM(K13:K20)</f>
        <v>0</v>
      </c>
    </row>
    <row r="22" spans="1:11" ht="15.75" customHeight="1" outlineLevel="1" x14ac:dyDescent="0.3">
      <c r="A22" s="43"/>
      <c r="B22" s="30" t="s">
        <v>13</v>
      </c>
      <c r="C22" s="17" t="e">
        <f>VLOOKUP(C21,ESCALA_IEP!A2:B202,2,FALSE)</f>
        <v>#N/A</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MAXIMILIANO ANDRES PINO CESPEDES</cp:lastModifiedBy>
  <dcterms:created xsi:type="dcterms:W3CDTF">2023-08-07T04:08:01Z</dcterms:created>
  <dcterms:modified xsi:type="dcterms:W3CDTF">2025-10-14T19:34:58Z</dcterms:modified>
</cp:coreProperties>
</file>